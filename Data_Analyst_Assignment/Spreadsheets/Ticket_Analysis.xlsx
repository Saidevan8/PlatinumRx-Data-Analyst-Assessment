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ide\Desktop\Data_Analyst_Assignment\Spreadsheets\"/>
    </mc:Choice>
  </mc:AlternateContent>
  <xr:revisionPtr revIDLastSave="0" documentId="8_{74950825-82FB-40AD-98C2-761A9E581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5" i="2"/>
  <c r="D4" i="2"/>
  <c r="D6" i="2"/>
  <c r="D7" i="2"/>
  <c r="D2" i="2"/>
  <c r="G7" i="1"/>
  <c r="F7" i="1"/>
  <c r="G6" i="1"/>
  <c r="F6" i="1"/>
  <c r="G5" i="1"/>
  <c r="F5" i="1"/>
  <c r="G4" i="1"/>
  <c r="F4" i="1"/>
  <c r="G3" i="1"/>
  <c r="C2" i="3" s="1"/>
  <c r="F3" i="1"/>
  <c r="B2" i="3" s="1"/>
  <c r="G2" i="1"/>
  <c r="C3" i="3" s="1"/>
  <c r="F2" i="1"/>
  <c r="B3" i="3" s="1"/>
</calcChain>
</file>

<file path=xl/sharedStrings.xml><?xml version="1.0" encoding="utf-8"?>
<sst xmlns="http://schemas.openxmlformats.org/spreadsheetml/2006/main" count="40" uniqueCount="26">
  <si>
    <t>ticket_id</t>
  </si>
  <si>
    <t>created_at</t>
  </si>
  <si>
    <t>closed_at</t>
  </si>
  <si>
    <t>outlet_id</t>
  </si>
  <si>
    <t>cms_id</t>
  </si>
  <si>
    <t>Same_Day?</t>
  </si>
  <si>
    <t>Same_Hour?</t>
  </si>
  <si>
    <t>isu-sjd-457</t>
  </si>
  <si>
    <t>wrqy-juv-978</t>
  </si>
  <si>
    <t>vew-iuvd-12</t>
  </si>
  <si>
    <t>qer-fal-092</t>
  </si>
  <si>
    <t>8woh-k3u-23b</t>
  </si>
  <si>
    <t>abc-001</t>
  </si>
  <si>
    <t>cms-001</t>
  </si>
  <si>
    <t>abc-002</t>
  </si>
  <si>
    <t>cms-002</t>
  </si>
  <si>
    <t>abc-003</t>
  </si>
  <si>
    <t>cms-003</t>
  </si>
  <si>
    <t>abc-004</t>
  </si>
  <si>
    <t>cms-004</t>
  </si>
  <si>
    <t>feedback_at</t>
  </si>
  <si>
    <t>feedback_rating</t>
  </si>
  <si>
    <t>ticket_created_at</t>
  </si>
  <si>
    <t>same_day_count</t>
  </si>
  <si>
    <t>same_hour_count</t>
  </si>
  <si>
    <t>vew-iuvd-13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</si>
</sst>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12" sqref="E12"/>
    </sheetView>
  </sheetViews>
  <sheetFormatPr defaultRowHeight="14.4" x14ac:dyDescent="0.3"/>
  <cols>
    <col min="1" max="1" width="15.44140625" customWidth="1"/>
    <col min="2" max="2" width="27.77734375" customWidth="1"/>
    <col min="3" max="3" width="32.44140625" customWidth="1"/>
    <col min="4" max="4" width="27" customWidth="1"/>
    <col min="5" max="5" width="27.77734375" customWidth="1"/>
    <col min="6" max="6" width="15.5546875" customWidth="1"/>
    <col min="7" max="7" width="15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3">
      <c r="A2" t="s">
        <v>7</v>
      </c>
      <c r="B2" s="2">
        <v>44427.698414351849</v>
      </c>
      <c r="C2" s="2">
        <v>44430.523287037038</v>
      </c>
      <c r="D2" t="s">
        <v>8</v>
      </c>
      <c r="E2" t="s">
        <v>9</v>
      </c>
      <c r="F2" t="b">
        <f t="shared" ref="F2:F7" si="0">IF(OR(B2="",C2=""),FALSE,INT(B2)=INT(C2))</f>
        <v>0</v>
      </c>
      <c r="G2" t="b">
        <f t="shared" ref="G2:G7" si="1">IF(OR(B2="",C2=""),FALSE,AND(INT(B2)=INT(C2),HOUR(B2)=HOUR(C2)))</f>
        <v>0</v>
      </c>
    </row>
    <row r="3" spans="1:7" x14ac:dyDescent="0.3">
      <c r="A3" t="s">
        <v>10</v>
      </c>
      <c r="B3" s="2">
        <v>44429.464837962973</v>
      </c>
      <c r="C3" s="2">
        <v>44429.717881944453</v>
      </c>
      <c r="D3" t="s">
        <v>11</v>
      </c>
      <c r="E3" t="s">
        <v>25</v>
      </c>
      <c r="F3" t="b">
        <f t="shared" si="0"/>
        <v>1</v>
      </c>
      <c r="G3" t="b">
        <f t="shared" si="1"/>
        <v>0</v>
      </c>
    </row>
    <row r="4" spans="1:7" x14ac:dyDescent="0.3">
      <c r="A4" t="s">
        <v>12</v>
      </c>
      <c r="B4" s="2">
        <v>44429.385416666657</v>
      </c>
      <c r="C4" s="2">
        <v>44429.40625</v>
      </c>
      <c r="D4" t="s">
        <v>8</v>
      </c>
      <c r="E4" t="s">
        <v>13</v>
      </c>
      <c r="F4" t="b">
        <f t="shared" si="0"/>
        <v>1</v>
      </c>
      <c r="G4" t="b">
        <f t="shared" si="1"/>
        <v>1</v>
      </c>
    </row>
    <row r="5" spans="1:7" x14ac:dyDescent="0.3">
      <c r="A5" t="s">
        <v>14</v>
      </c>
      <c r="B5" s="2">
        <v>44429.409722222219</v>
      </c>
      <c r="C5" s="2">
        <v>44429.423611111109</v>
      </c>
      <c r="D5" t="s">
        <v>8</v>
      </c>
      <c r="E5" t="s">
        <v>15</v>
      </c>
      <c r="F5" t="b">
        <f t="shared" si="0"/>
        <v>1</v>
      </c>
      <c r="G5" t="b">
        <f t="shared" si="1"/>
        <v>0</v>
      </c>
    </row>
    <row r="6" spans="1:7" x14ac:dyDescent="0.3">
      <c r="A6" t="s">
        <v>16</v>
      </c>
      <c r="B6" s="2">
        <v>44429.395833333343</v>
      </c>
      <c r="C6" s="2">
        <v>44429.415972222218</v>
      </c>
      <c r="D6" t="s">
        <v>11</v>
      </c>
      <c r="E6" t="s">
        <v>17</v>
      </c>
      <c r="F6" t="b">
        <f t="shared" si="0"/>
        <v>1</v>
      </c>
      <c r="G6" t="b">
        <f t="shared" si="1"/>
        <v>1</v>
      </c>
    </row>
    <row r="7" spans="1:7" x14ac:dyDescent="0.3">
      <c r="A7" t="s">
        <v>18</v>
      </c>
      <c r="B7" s="2">
        <v>44430.333333333343</v>
      </c>
      <c r="C7" s="2">
        <v>44430.364583333343</v>
      </c>
      <c r="D7" t="s">
        <v>11</v>
      </c>
      <c r="E7" t="s">
        <v>19</v>
      </c>
      <c r="F7" t="b">
        <f t="shared" si="0"/>
        <v>1</v>
      </c>
      <c r="G7" t="b">
        <f t="shared" si="1"/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3" sqref="D3"/>
    </sheetView>
  </sheetViews>
  <sheetFormatPr defaultRowHeight="14.4" x14ac:dyDescent="0.3"/>
  <cols>
    <col min="1" max="1" width="17.6640625" customWidth="1"/>
    <col min="2" max="2" width="21.77734375" customWidth="1"/>
    <col min="3" max="3" width="20.5546875" customWidth="1"/>
    <col min="4" max="4" width="24.77734375" customWidth="1"/>
  </cols>
  <sheetData>
    <row r="1" spans="1:4" x14ac:dyDescent="0.3">
      <c r="A1" s="1" t="s">
        <v>4</v>
      </c>
      <c r="B1" s="1" t="s">
        <v>20</v>
      </c>
      <c r="C1" s="1" t="s">
        <v>21</v>
      </c>
      <c r="D1" s="1" t="s">
        <v>22</v>
      </c>
    </row>
    <row r="2" spans="1:4" x14ac:dyDescent="0.3">
      <c r="A2" t="s">
        <v>9</v>
      </c>
      <c r="B2" s="2">
        <v>44429.560277777768</v>
      </c>
      <c r="C2">
        <v>3</v>
      </c>
      <c r="D2" s="2">
        <f>IF(A2="","", _xlfn.XLOOKUP(A2, ticket!E:E, ticket!B:B, ""))</f>
        <v>44427.698414351849</v>
      </c>
    </row>
    <row r="3" spans="1:4" x14ac:dyDescent="0.3">
      <c r="A3" t="s">
        <v>25</v>
      </c>
      <c r="B3" s="2">
        <v>44430.568055555559</v>
      </c>
      <c r="C3">
        <v>3</v>
      </c>
      <c r="D3" s="2">
        <f>IF(A3="","", _xlfn.XLOOKUP(A3, ticket!E:E, ticket!B:B, ""))</f>
        <v>44429.464837962973</v>
      </c>
    </row>
    <row r="4" spans="1:4" x14ac:dyDescent="0.3">
      <c r="A4" t="s">
        <v>13</v>
      </c>
      <c r="B4" s="2">
        <v>44429.458333333343</v>
      </c>
      <c r="C4">
        <v>4</v>
      </c>
      <c r="D4" s="2">
        <f>IF(A4="","", _xlfn.XLOOKUP(A4, ticket!E:E, ticket!B:B, ""))</f>
        <v>44429.385416666657</v>
      </c>
    </row>
    <row r="5" spans="1:4" x14ac:dyDescent="0.3">
      <c r="A5" t="s">
        <v>15</v>
      </c>
      <c r="B5" s="2">
        <v>44430.4375</v>
      </c>
      <c r="C5">
        <v>4</v>
      </c>
      <c r="D5" s="2">
        <f>IF(A5="","", _xlfn.XLOOKUP(A5, ticket!E:E, ticket!B:B, ""))</f>
        <v>44429.409722222219</v>
      </c>
    </row>
    <row r="6" spans="1:4" x14ac:dyDescent="0.3">
      <c r="A6" t="s">
        <v>17</v>
      </c>
      <c r="B6" s="2">
        <v>44429.416666666657</v>
      </c>
      <c r="C6">
        <v>5</v>
      </c>
      <c r="D6" s="2">
        <f>IF(A6="","", _xlfn.XLOOKUP(A6, ticket!E:E, ticket!B:B, ""))</f>
        <v>44429.395833333343</v>
      </c>
    </row>
    <row r="7" spans="1:4" x14ac:dyDescent="0.3">
      <c r="A7" t="s">
        <v>19</v>
      </c>
      <c r="B7" s="2">
        <v>44431.375</v>
      </c>
      <c r="C7">
        <v>2</v>
      </c>
      <c r="D7" s="2">
        <f>IF(A7="","", _xlfn.XLOOKUP(A7, ticket!E:E, ticket!B:B, ""))</f>
        <v>44430.333333333343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1" sqref="C1"/>
    </sheetView>
  </sheetViews>
  <sheetFormatPr defaultRowHeight="14.4" x14ac:dyDescent="0.3"/>
  <cols>
    <col min="1" max="1" width="22.5546875" customWidth="1"/>
    <col min="2" max="2" width="25.6640625" customWidth="1"/>
    <col min="3" max="3" width="25.88671875" customWidth="1"/>
  </cols>
  <sheetData>
    <row r="1" spans="1:3" x14ac:dyDescent="0.3">
      <c r="A1" s="1" t="s">
        <v>3</v>
      </c>
      <c r="B1" s="1" t="s">
        <v>23</v>
      </c>
      <c r="C1" s="1" t="s">
        <v>24</v>
      </c>
    </row>
    <row r="2" spans="1:3" x14ac:dyDescent="0.3">
      <c r="A2" t="s">
        <v>11</v>
      </c>
      <c r="B2">
        <f>COUNTIFS(ticket!$D:$D, A2, ticket!$F:$F, TRUE)</f>
        <v>3</v>
      </c>
      <c r="C2">
        <f>COUNTIFS(ticket!$D:$D, A2, ticket!$G:$G, TRUE)</f>
        <v>2</v>
      </c>
    </row>
    <row r="3" spans="1:3" x14ac:dyDescent="0.3">
      <c r="A3" t="s">
        <v>8</v>
      </c>
      <c r="B3">
        <f>COUNTIFS(ticket!$D:$D, A3, ticket!$F:$F, TRUE)</f>
        <v>2</v>
      </c>
      <c r="C3">
        <f>COUNTIFS(ticket!$D:$D, A3, ticket!$G:$G, TRUE)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DEVAN</cp:lastModifiedBy>
  <dcterms:created xsi:type="dcterms:W3CDTF">2025-12-03T04:57:32Z</dcterms:created>
  <dcterms:modified xsi:type="dcterms:W3CDTF">2025-12-03T05:10:04Z</dcterms:modified>
</cp:coreProperties>
</file>